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iyon\ENFB SYSTEM FILE Dropbox\Eli Yang\1 ENFB INSURANCE\2 保险业务(INSURANCE)\7.其他文件\询价模板\"/>
    </mc:Choice>
  </mc:AlternateContent>
  <xr:revisionPtr revIDLastSave="0" documentId="13_ncr:1_{216D855F-D77B-47D9-80C8-5CF0689A453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WIBA LIST" sheetId="5" r:id="rId1"/>
    <sheet name="统计表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G15" i="5"/>
  <c r="F15" i="5"/>
  <c r="G9" i="5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H9" i="5"/>
  <c r="G10" i="5"/>
  <c r="H10" i="5" s="1"/>
  <c r="G11" i="5"/>
  <c r="G12" i="5"/>
  <c r="G13" i="5"/>
  <c r="G14" i="5"/>
  <c r="H2" i="5"/>
  <c r="G2" i="5"/>
  <c r="H11" i="5"/>
  <c r="H12" i="5"/>
  <c r="H13" i="5"/>
  <c r="H14" i="5"/>
  <c r="H22" i="4"/>
  <c r="F22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<sst xmlns="http://schemas.openxmlformats.org/spreadsheetml/2006/main" count="35" uniqueCount="35">
  <si>
    <r>
      <rPr>
        <b/>
        <sz val="11"/>
        <rFont val="Times New Roman"/>
        <family val="1"/>
      </rPr>
      <t>Estimated Total Monthly Salary</t>
    </r>
    <r>
      <rPr>
        <b/>
        <sz val="11"/>
        <rFont val="微软雅黑"/>
        <family val="2"/>
        <charset val="134"/>
      </rPr>
      <t>预计月薪总额</t>
    </r>
  </si>
  <si>
    <r>
      <rPr>
        <sz val="11"/>
        <rFont val="Times New Roman"/>
        <family val="1"/>
      </rPr>
      <t xml:space="preserve"> Position</t>
    </r>
    <r>
      <rPr>
        <sz val="11"/>
        <rFont val="宋体"/>
        <family val="3"/>
        <charset val="134"/>
      </rPr>
      <t>工种职位</t>
    </r>
  </si>
  <si>
    <r>
      <rPr>
        <sz val="10"/>
        <rFont val="Times New Roman"/>
        <family val="1"/>
      </rPr>
      <t>Basic Salary/Month</t>
    </r>
    <r>
      <rPr>
        <sz val="10"/>
        <rFont val="宋体"/>
        <family val="3"/>
        <charset val="134"/>
      </rPr>
      <t>月工资</t>
    </r>
  </si>
  <si>
    <r>
      <rPr>
        <sz val="10"/>
        <rFont val="Times New Roman"/>
        <family val="1"/>
      </rPr>
      <t xml:space="preserve">allowances </t>
    </r>
    <r>
      <rPr>
        <sz val="10"/>
        <rFont val="DengXian"/>
        <family val="4"/>
        <charset val="134"/>
      </rPr>
      <t>固定补助</t>
    </r>
  </si>
  <si>
    <r>
      <rPr>
        <sz val="10"/>
        <rFont val="Times New Roman"/>
        <family val="1"/>
      </rPr>
      <t xml:space="preserve">over time or bonus </t>
    </r>
    <r>
      <rPr>
        <sz val="10"/>
        <rFont val="DengXian"/>
        <family val="4"/>
        <charset val="134"/>
      </rPr>
      <t>固定加班和特殊津贴</t>
    </r>
    <r>
      <rPr>
        <sz val="10"/>
        <rFont val="Times New Roman"/>
        <family val="1"/>
      </rPr>
      <t xml:space="preserve"> </t>
    </r>
  </si>
  <si>
    <r>
      <rPr>
        <sz val="10"/>
        <rFont val="Times New Roman"/>
        <family val="1"/>
      </rPr>
      <t>Number</t>
    </r>
    <r>
      <rPr>
        <sz val="10"/>
        <rFont val="DengXian"/>
        <family val="4"/>
        <charset val="134"/>
      </rPr>
      <t>工种人数</t>
    </r>
  </si>
  <si>
    <r>
      <rPr>
        <sz val="10"/>
        <rFont val="Times New Roman"/>
        <family val="1"/>
      </rPr>
      <t>Sub-Total</t>
    </r>
    <r>
      <rPr>
        <sz val="10"/>
        <rFont val="DengXian"/>
        <family val="4"/>
        <charset val="134"/>
      </rPr>
      <t>月工资总和</t>
    </r>
  </si>
  <si>
    <r>
      <rPr>
        <sz val="10"/>
        <rFont val="Times New Roman"/>
        <family val="1"/>
      </rPr>
      <t>Annual salary</t>
    </r>
    <r>
      <rPr>
        <sz val="10"/>
        <rFont val="DengXian"/>
        <family val="4"/>
        <charset val="134"/>
      </rPr>
      <t>年工资总和</t>
    </r>
  </si>
  <si>
    <t>Labour</t>
  </si>
  <si>
    <t>Mason</t>
  </si>
  <si>
    <t xml:space="preserve"> Steel fixer</t>
  </si>
  <si>
    <t>Plumber</t>
  </si>
  <si>
    <t>Welder</t>
  </si>
  <si>
    <t>Carpenter</t>
  </si>
  <si>
    <t>Surveyor</t>
  </si>
  <si>
    <t>Operator</t>
  </si>
  <si>
    <t xml:space="preserve"> driver</t>
  </si>
  <si>
    <t>Foreman</t>
  </si>
  <si>
    <t>Assistant Chef</t>
  </si>
  <si>
    <t>cleaner</t>
  </si>
  <si>
    <t>Secretary/Office staff</t>
  </si>
  <si>
    <t>Nurse/Clinic officer</t>
  </si>
  <si>
    <t>Mechanic</t>
  </si>
  <si>
    <t>Electrician</t>
  </si>
  <si>
    <t xml:space="preserve">Safety officer </t>
  </si>
  <si>
    <t>HR</t>
  </si>
  <si>
    <t>Total</t>
  </si>
  <si>
    <t>No</t>
    <phoneticPr fontId="13" type="noConversion"/>
  </si>
  <si>
    <r>
      <t xml:space="preserve">Occupation
</t>
    </r>
    <r>
      <rPr>
        <b/>
        <sz val="11"/>
        <rFont val="SimSun"/>
        <family val="1"/>
        <charset val="134"/>
      </rPr>
      <t>员工的职业（工种）</t>
    </r>
    <phoneticPr fontId="13" type="noConversion"/>
  </si>
  <si>
    <r>
      <t xml:space="preserve">Basic Salary / month
</t>
    </r>
    <r>
      <rPr>
        <b/>
        <sz val="11"/>
        <rFont val="宋体"/>
        <family val="1"/>
        <charset val="134"/>
      </rPr>
      <t>基础月薪</t>
    </r>
    <phoneticPr fontId="13" type="noConversion"/>
  </si>
  <si>
    <r>
      <t xml:space="preserve">Allowance / month
</t>
    </r>
    <r>
      <rPr>
        <b/>
        <sz val="11"/>
        <rFont val="宋体"/>
        <family val="1"/>
        <charset val="134"/>
      </rPr>
      <t>津贴/月</t>
    </r>
    <phoneticPr fontId="13" type="noConversion"/>
  </si>
  <si>
    <r>
      <t>Estimated Annual Salary</t>
    </r>
    <r>
      <rPr>
        <b/>
        <sz val="11"/>
        <rFont val="微软雅黑"/>
        <family val="2"/>
        <charset val="134"/>
      </rPr>
      <t>预计年薪</t>
    </r>
    <phoneticPr fontId="13" type="noConversion"/>
  </si>
  <si>
    <r>
      <t>Number of Employees</t>
    </r>
    <r>
      <rPr>
        <b/>
        <sz val="11"/>
        <rFont val="微软雅黑"/>
        <family val="2"/>
        <charset val="134"/>
      </rPr>
      <t>员工人数</t>
    </r>
    <phoneticPr fontId="13" type="noConversion"/>
  </si>
  <si>
    <r>
      <t xml:space="preserve">Over time/Bonus / month
</t>
    </r>
    <r>
      <rPr>
        <b/>
        <sz val="11"/>
        <rFont val="宋体"/>
        <family val="1"/>
        <charset val="134"/>
      </rPr>
      <t>加班费/月</t>
    </r>
    <phoneticPr fontId="13" type="noConversion"/>
  </si>
  <si>
    <t>TOTAL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</si>
</sst>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_);_(* \(#,##0\);_(* &quot;-&quot;??_);_(@_)"/>
  </numFmts>
  <fonts count="16">
    <font>
      <sz val="11"/>
      <color theme="1"/>
      <name val="宋体"/>
      <charset val="134"/>
      <scheme val="minor"/>
    </font>
    <font>
      <sz val="11"/>
      <name val="宋体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DengXian"/>
      <family val="4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SimSun"/>
      <family val="1"/>
      <charset val="134"/>
    </font>
    <font>
      <b/>
      <sz val="1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176" fontId="3" fillId="0" borderId="1" xfId="1" applyNumberFormat="1" applyFont="1" applyBorder="1" applyAlignment="1">
      <alignment horizontal="center" wrapText="1"/>
    </xf>
    <xf numFmtId="176" fontId="3" fillId="0" borderId="1" xfId="1" applyNumberFormat="1" applyFont="1" applyBorder="1" applyAlignment="1">
      <alignment horizontal="center"/>
    </xf>
    <xf numFmtId="176" fontId="3" fillId="0" borderId="1" xfId="1" applyNumberFormat="1" applyFont="1" applyFill="1" applyBorder="1" applyAlignment="1">
      <alignment horizontal="center"/>
    </xf>
    <xf numFmtId="176" fontId="4" fillId="0" borderId="1" xfId="1" applyNumberFormat="1" applyFont="1" applyBorder="1" applyAlignment="1"/>
    <xf numFmtId="0" fontId="5" fillId="0" borderId="1" xfId="0" applyFont="1" applyBorder="1" applyAlignment="1">
      <alignment horizontal="center"/>
    </xf>
    <xf numFmtId="176" fontId="4" fillId="0" borderId="1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3" fontId="5" fillId="0" borderId="1" xfId="1" applyFont="1" applyBorder="1" applyAlignment="1"/>
    <xf numFmtId="176" fontId="4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43" fontId="6" fillId="0" borderId="1" xfId="1" applyFont="1" applyBorder="1" applyAlignment="1"/>
    <xf numFmtId="0" fontId="7" fillId="0" borderId="1" xfId="0" applyFont="1" applyBorder="1" applyAlignment="1">
      <alignment vertical="top" wrapText="1"/>
    </xf>
    <xf numFmtId="0" fontId="0" fillId="0" borderId="1" xfId="0" applyBorder="1"/>
    <xf numFmtId="43" fontId="0" fillId="0" borderId="1" xfId="0" applyNumberFormat="1" applyBorder="1"/>
    <xf numFmtId="0" fontId="7" fillId="0" borderId="1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8.84375" defaultRowHeight="14.15"/>
  <cols>
    <col min="1" max="1" width="4.4609375" customWidth="1"/>
    <col min="2" max="2" width="21" customWidth="1"/>
    <col min="3" max="5" width="19.4609375" customWidth="1"/>
    <col min="6" max="6" width="16.3046875" customWidth="1"/>
    <col min="7" max="7" width="18.4609375" customWidth="1"/>
    <col min="8" max="8" width="22.15234375" customWidth="1"/>
  </cols>
  <sheetData>
    <row r="1" spans="1:8" s="1" customFormat="1" ht="45">
      <c r="A1" s="2" t="s">
        <v>27</v>
      </c>
      <c r="B1" s="15" t="s">
        <v>28</v>
      </c>
      <c r="C1" s="15" t="s">
        <v>29</v>
      </c>
      <c r="D1" s="15" t="s">
        <v>30</v>
      </c>
      <c r="E1" s="15" t="s">
        <v>33</v>
      </c>
      <c r="F1" s="15" t="s">
        <v>32</v>
      </c>
      <c r="G1" s="15" t="s">
        <v>0</v>
      </c>
      <c r="H1" s="15" t="s">
        <v>31</v>
      </c>
    </row>
    <row r="2" spans="1:8" ht="30" customHeight="1">
      <c r="A2" s="6">
        <v>1</v>
      </c>
      <c r="B2" s="7"/>
      <c r="C2" s="3"/>
      <c r="D2" s="3"/>
      <c r="E2" s="3"/>
      <c r="F2" s="9"/>
      <c r="G2" s="8">
        <f>(C2+D2+E2)*F2</f>
        <v>0</v>
      </c>
      <c r="H2" s="10">
        <f>G2*12</f>
        <v>0</v>
      </c>
    </row>
    <row r="3" spans="1:8" ht="30" customHeight="1">
      <c r="A3" s="6">
        <v>2</v>
      </c>
      <c r="B3" s="9"/>
      <c r="C3" s="3"/>
      <c r="D3" s="3"/>
      <c r="E3" s="3"/>
      <c r="F3" s="9"/>
      <c r="G3" s="8">
        <f t="shared" ref="G3:G14" si="0">(C3+D3+E3)*F3</f>
        <v>0</v>
      </c>
      <c r="H3" s="10">
        <f t="shared" ref="H3:H14" si="1">G3*12</f>
        <v>0</v>
      </c>
    </row>
    <row r="4" spans="1:8" ht="30" customHeight="1">
      <c r="A4" s="6">
        <v>3</v>
      </c>
      <c r="B4" s="9"/>
      <c r="C4" s="3"/>
      <c r="D4" s="3"/>
      <c r="E4" s="3"/>
      <c r="F4" s="9"/>
      <c r="G4" s="8">
        <f t="shared" si="0"/>
        <v>0</v>
      </c>
      <c r="H4" s="10">
        <f t="shared" si="1"/>
        <v>0</v>
      </c>
    </row>
    <row r="5" spans="1:8" ht="30" customHeight="1">
      <c r="A5" s="6">
        <v>4</v>
      </c>
      <c r="B5" s="7"/>
      <c r="C5" s="3"/>
      <c r="D5" s="3"/>
      <c r="E5" s="3"/>
      <c r="F5" s="9"/>
      <c r="G5" s="8">
        <f t="shared" si="0"/>
        <v>0</v>
      </c>
      <c r="H5" s="10">
        <f t="shared" si="1"/>
        <v>0</v>
      </c>
    </row>
    <row r="6" spans="1:8" ht="30" customHeight="1">
      <c r="A6" s="6">
        <v>5</v>
      </c>
      <c r="B6" s="7"/>
      <c r="C6" s="3"/>
      <c r="D6" s="3"/>
      <c r="E6" s="3"/>
      <c r="F6" s="9"/>
      <c r="G6" s="8">
        <f t="shared" si="0"/>
        <v>0</v>
      </c>
      <c r="H6" s="10">
        <f t="shared" si="1"/>
        <v>0</v>
      </c>
    </row>
    <row r="7" spans="1:8" ht="30" customHeight="1">
      <c r="A7" s="6">
        <v>6</v>
      </c>
      <c r="B7" s="7"/>
      <c r="C7" s="3"/>
      <c r="D7" s="3"/>
      <c r="E7" s="3"/>
      <c r="F7" s="9"/>
      <c r="G7" s="8">
        <f t="shared" si="0"/>
        <v>0</v>
      </c>
      <c r="H7" s="10">
        <f t="shared" si="1"/>
        <v>0</v>
      </c>
    </row>
    <row r="8" spans="1:8" ht="30" customHeight="1">
      <c r="A8" s="6">
        <v>7</v>
      </c>
      <c r="B8" s="7"/>
      <c r="C8" s="3"/>
      <c r="D8" s="3"/>
      <c r="E8" s="3"/>
      <c r="F8" s="9"/>
      <c r="G8" s="8">
        <f t="shared" si="0"/>
        <v>0</v>
      </c>
      <c r="H8" s="10">
        <f t="shared" si="1"/>
        <v>0</v>
      </c>
    </row>
    <row r="9" spans="1:8" ht="30" customHeight="1">
      <c r="A9" s="6">
        <v>8</v>
      </c>
      <c r="B9" s="7"/>
      <c r="C9" s="3"/>
      <c r="D9" s="3"/>
      <c r="E9" s="3"/>
      <c r="F9" s="9"/>
      <c r="G9" s="8">
        <f>(C9+D9+E9)*F9</f>
        <v>0</v>
      </c>
      <c r="H9" s="10">
        <f t="shared" si="1"/>
        <v>0</v>
      </c>
    </row>
    <row r="10" spans="1:8" ht="30" customHeight="1">
      <c r="A10" s="6">
        <v>9</v>
      </c>
      <c r="B10" s="7"/>
      <c r="C10" s="3"/>
      <c r="D10" s="3"/>
      <c r="E10" s="3"/>
      <c r="F10" s="9"/>
      <c r="G10" s="8">
        <f t="shared" si="0"/>
        <v>0</v>
      </c>
      <c r="H10" s="10">
        <f t="shared" si="1"/>
        <v>0</v>
      </c>
    </row>
    <row r="11" spans="1:8" ht="30" customHeight="1">
      <c r="A11" s="6">
        <v>10</v>
      </c>
      <c r="B11" s="7"/>
      <c r="C11" s="3"/>
      <c r="D11" s="3"/>
      <c r="E11" s="3"/>
      <c r="F11" s="9"/>
      <c r="G11" s="8">
        <f t="shared" si="0"/>
        <v>0</v>
      </c>
      <c r="H11" s="10">
        <f t="shared" si="1"/>
        <v>0</v>
      </c>
    </row>
    <row r="12" spans="1:8" ht="30" customHeight="1">
      <c r="A12" s="6">
        <v>11</v>
      </c>
      <c r="B12" s="7"/>
      <c r="C12" s="3"/>
      <c r="D12" s="3"/>
      <c r="E12" s="3"/>
      <c r="F12" s="9"/>
      <c r="G12" s="8">
        <f t="shared" si="0"/>
        <v>0</v>
      </c>
      <c r="H12" s="10">
        <f t="shared" si="1"/>
        <v>0</v>
      </c>
    </row>
    <row r="13" spans="1:8" ht="30" customHeight="1">
      <c r="A13" s="6">
        <v>12</v>
      </c>
      <c r="B13" s="7"/>
      <c r="C13" s="3"/>
      <c r="D13" s="3"/>
      <c r="E13" s="3"/>
      <c r="F13" s="9"/>
      <c r="G13" s="8">
        <f t="shared" si="0"/>
        <v>0</v>
      </c>
      <c r="H13" s="10">
        <f t="shared" si="1"/>
        <v>0</v>
      </c>
    </row>
    <row r="14" spans="1:8" ht="30" customHeight="1">
      <c r="A14" s="6">
        <v>13</v>
      </c>
      <c r="B14" s="7"/>
      <c r="C14" s="3"/>
      <c r="D14" s="3"/>
      <c r="E14" s="3"/>
      <c r="F14" s="9"/>
      <c r="G14" s="8">
        <f t="shared" si="0"/>
        <v>0</v>
      </c>
      <c r="H14" s="10">
        <f t="shared" si="1"/>
        <v>0</v>
      </c>
    </row>
    <row r="15" spans="1:8" ht="30" customHeight="1">
      <c r="A15" s="16"/>
      <c r="B15" s="16"/>
      <c r="C15" s="16"/>
      <c r="D15" s="16"/>
      <c r="E15" s="18" t="s">
        <v>34</v>
      </c>
      <c r="F15" s="17">
        <f>SUM(F2:F14)</f>
        <v>0</v>
      </c>
      <c r="G15" s="17">
        <f>SUM(G2:G14)</f>
        <v>0</v>
      </c>
      <c r="H15" s="17">
        <f>SUM(H2:H14)</f>
        <v>0</v>
      </c>
    </row>
  </sheetData>
  <phoneticPr fontId="13" type="noConversion"/>
  <pageMargins left="0.7" right="0.7" top="0.75" bottom="0.75" header="0.3" footer="0.3"/>
  <pageSetup paperSize="9" scale="8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"/>
  <sheetViews>
    <sheetView workbookViewId="0">
      <selection activeCell="G2" sqref="G2"/>
    </sheetView>
  </sheetViews>
  <sheetFormatPr defaultColWidth="8.84375" defaultRowHeight="14.15"/>
  <cols>
    <col min="1" max="1" width="4.4609375" customWidth="1"/>
    <col min="2" max="2" width="18.84375" customWidth="1"/>
    <col min="3" max="5" width="19.4609375" customWidth="1"/>
    <col min="6" max="6" width="16.3046875" customWidth="1"/>
    <col min="7" max="7" width="18.4609375" customWidth="1"/>
    <col min="8" max="8" width="22.15234375" customWidth="1"/>
    <col min="10" max="10" width="12.69140625"/>
  </cols>
  <sheetData>
    <row r="1" spans="1:8" s="1" customFormat="1" ht="25.75">
      <c r="A1" s="2"/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</row>
    <row r="2" spans="1:8" ht="15" customHeight="1">
      <c r="A2" s="6">
        <v>1</v>
      </c>
      <c r="B2" s="7" t="s">
        <v>8</v>
      </c>
      <c r="C2" s="8">
        <v>12000</v>
      </c>
      <c r="D2" s="3">
        <v>3000</v>
      </c>
      <c r="E2" s="3">
        <v>5000</v>
      </c>
      <c r="F2" s="9">
        <v>180</v>
      </c>
      <c r="G2" s="8">
        <f t="shared" ref="G2:G20" si="0">(C2+D2+E2)*F2</f>
        <v>3600000</v>
      </c>
      <c r="H2" s="10">
        <f t="shared" ref="H2:H8" si="1">G2*12</f>
        <v>43200000</v>
      </c>
    </row>
    <row r="3" spans="1:8" ht="15" customHeight="1">
      <c r="A3" s="6">
        <v>2</v>
      </c>
      <c r="B3" s="7" t="s">
        <v>9</v>
      </c>
      <c r="C3" s="8">
        <v>14000</v>
      </c>
      <c r="D3" s="8">
        <v>3500</v>
      </c>
      <c r="E3" s="8">
        <v>10000</v>
      </c>
      <c r="F3" s="9">
        <v>50</v>
      </c>
      <c r="G3" s="8">
        <f t="shared" si="0"/>
        <v>1375000</v>
      </c>
      <c r="H3" s="10">
        <f t="shared" si="1"/>
        <v>16500000</v>
      </c>
    </row>
    <row r="4" spans="1:8" ht="15" customHeight="1">
      <c r="A4" s="6">
        <v>3</v>
      </c>
      <c r="B4" s="7" t="s">
        <v>10</v>
      </c>
      <c r="C4" s="8">
        <v>14000</v>
      </c>
      <c r="D4" s="8">
        <v>3500</v>
      </c>
      <c r="E4" s="8">
        <v>10000</v>
      </c>
      <c r="F4" s="9">
        <v>40</v>
      </c>
      <c r="G4" s="8">
        <f t="shared" si="0"/>
        <v>1100000</v>
      </c>
      <c r="H4" s="10">
        <f t="shared" si="1"/>
        <v>13200000</v>
      </c>
    </row>
    <row r="5" spans="1:8" ht="15" customHeight="1">
      <c r="A5" s="6">
        <v>4</v>
      </c>
      <c r="B5" s="7" t="s">
        <v>11</v>
      </c>
      <c r="C5" s="8">
        <v>14000</v>
      </c>
      <c r="D5" s="8">
        <v>3500</v>
      </c>
      <c r="E5" s="8">
        <v>10000</v>
      </c>
      <c r="F5" s="9">
        <v>10</v>
      </c>
      <c r="G5" s="8">
        <f t="shared" si="0"/>
        <v>275000</v>
      </c>
      <c r="H5" s="10">
        <f t="shared" si="1"/>
        <v>3300000</v>
      </c>
    </row>
    <row r="6" spans="1:8" ht="15" customHeight="1">
      <c r="A6" s="6">
        <v>5</v>
      </c>
      <c r="B6" s="7" t="s">
        <v>12</v>
      </c>
      <c r="C6" s="8">
        <v>14000</v>
      </c>
      <c r="D6" s="8">
        <v>3500</v>
      </c>
      <c r="E6" s="8">
        <v>10000</v>
      </c>
      <c r="F6" s="9">
        <v>12</v>
      </c>
      <c r="G6" s="8">
        <f t="shared" si="0"/>
        <v>330000</v>
      </c>
      <c r="H6" s="10">
        <f t="shared" si="1"/>
        <v>3960000</v>
      </c>
    </row>
    <row r="7" spans="1:8" ht="15" customHeight="1">
      <c r="A7" s="6">
        <v>6</v>
      </c>
      <c r="B7" s="7" t="s">
        <v>13</v>
      </c>
      <c r="C7" s="8">
        <v>14000</v>
      </c>
      <c r="D7" s="8">
        <v>3500</v>
      </c>
      <c r="E7" s="8">
        <v>10000</v>
      </c>
      <c r="F7" s="9">
        <v>45</v>
      </c>
      <c r="G7" s="8">
        <f t="shared" si="0"/>
        <v>1237500</v>
      </c>
      <c r="H7" s="10">
        <f t="shared" si="1"/>
        <v>14850000</v>
      </c>
    </row>
    <row r="8" spans="1:8" ht="15" customHeight="1">
      <c r="A8" s="6">
        <v>7</v>
      </c>
      <c r="B8" s="7" t="s">
        <v>14</v>
      </c>
      <c r="C8" s="8">
        <v>15000</v>
      </c>
      <c r="D8" s="8">
        <v>4500</v>
      </c>
      <c r="E8" s="8">
        <v>10000</v>
      </c>
      <c r="F8" s="9">
        <v>7</v>
      </c>
      <c r="G8" s="8">
        <f t="shared" si="0"/>
        <v>206500</v>
      </c>
      <c r="H8" s="10">
        <f t="shared" si="1"/>
        <v>2478000</v>
      </c>
    </row>
    <row r="9" spans="1:8" ht="15" customHeight="1">
      <c r="A9" s="6">
        <v>8</v>
      </c>
      <c r="B9" s="7" t="s">
        <v>15</v>
      </c>
      <c r="C9" s="8">
        <v>20000</v>
      </c>
      <c r="D9" s="8">
        <v>5000</v>
      </c>
      <c r="E9" s="8">
        <v>10000</v>
      </c>
      <c r="F9" s="9">
        <v>47</v>
      </c>
      <c r="G9" s="8">
        <f t="shared" si="0"/>
        <v>1645000</v>
      </c>
      <c r="H9" s="10">
        <f t="shared" ref="H9:H20" si="2">G9*12</f>
        <v>19740000</v>
      </c>
    </row>
    <row r="10" spans="1:8" ht="15" customHeight="1">
      <c r="A10" s="6">
        <v>9</v>
      </c>
      <c r="B10" s="7" t="s">
        <v>16</v>
      </c>
      <c r="C10" s="8">
        <v>20000</v>
      </c>
      <c r="D10" s="8">
        <v>5000</v>
      </c>
      <c r="E10" s="8">
        <v>10000</v>
      </c>
      <c r="F10" s="9">
        <v>67</v>
      </c>
      <c r="G10" s="8">
        <f t="shared" si="0"/>
        <v>2345000</v>
      </c>
      <c r="H10" s="10">
        <f t="shared" si="2"/>
        <v>28140000</v>
      </c>
    </row>
    <row r="11" spans="1:8" ht="15" customHeight="1">
      <c r="A11" s="6">
        <v>10</v>
      </c>
      <c r="B11" s="7" t="s">
        <v>17</v>
      </c>
      <c r="C11" s="8">
        <v>20000</v>
      </c>
      <c r="D11" s="11">
        <v>4000</v>
      </c>
      <c r="E11" s="8">
        <v>10000</v>
      </c>
      <c r="F11" s="9">
        <v>18</v>
      </c>
      <c r="G11" s="8">
        <f t="shared" si="0"/>
        <v>612000</v>
      </c>
      <c r="H11" s="10">
        <f t="shared" si="2"/>
        <v>7344000</v>
      </c>
    </row>
    <row r="12" spans="1:8" ht="15" customHeight="1">
      <c r="A12" s="6">
        <v>11</v>
      </c>
      <c r="B12" s="7" t="s">
        <v>18</v>
      </c>
      <c r="C12" s="8">
        <v>16000</v>
      </c>
      <c r="D12" s="11"/>
      <c r="E12" s="11"/>
      <c r="F12" s="9">
        <v>5</v>
      </c>
      <c r="G12" s="8">
        <f t="shared" si="0"/>
        <v>80000</v>
      </c>
      <c r="H12" s="10">
        <f t="shared" si="2"/>
        <v>960000</v>
      </c>
    </row>
    <row r="13" spans="1:8" ht="15" customHeight="1">
      <c r="A13" s="6">
        <v>12</v>
      </c>
      <c r="B13" s="7" t="s">
        <v>19</v>
      </c>
      <c r="C13" s="8">
        <v>15000</v>
      </c>
      <c r="D13" s="11">
        <v>0</v>
      </c>
      <c r="E13" s="11">
        <v>0</v>
      </c>
      <c r="F13" s="9">
        <v>8</v>
      </c>
      <c r="G13" s="8">
        <f t="shared" si="0"/>
        <v>120000</v>
      </c>
      <c r="H13" s="10">
        <f t="shared" si="2"/>
        <v>1440000</v>
      </c>
    </row>
    <row r="14" spans="1:8" ht="15" customHeight="1">
      <c r="A14" s="6">
        <v>13</v>
      </c>
      <c r="B14" s="7" t="s">
        <v>20</v>
      </c>
      <c r="C14" s="8">
        <v>25000</v>
      </c>
      <c r="D14" s="11">
        <v>5000</v>
      </c>
      <c r="E14" s="11">
        <v>0</v>
      </c>
      <c r="F14" s="9">
        <v>60</v>
      </c>
      <c r="G14" s="8">
        <f t="shared" si="0"/>
        <v>1800000</v>
      </c>
      <c r="H14" s="10">
        <f t="shared" si="2"/>
        <v>21600000</v>
      </c>
    </row>
    <row r="15" spans="1:8" ht="15" customHeight="1">
      <c r="A15" s="6">
        <v>14</v>
      </c>
      <c r="B15" s="7" t="s">
        <v>21</v>
      </c>
      <c r="C15" s="8">
        <v>20000</v>
      </c>
      <c r="D15" s="11">
        <v>5000</v>
      </c>
      <c r="E15" s="11">
        <v>5000</v>
      </c>
      <c r="F15" s="9">
        <v>5</v>
      </c>
      <c r="G15" s="8">
        <f t="shared" si="0"/>
        <v>150000</v>
      </c>
      <c r="H15" s="10">
        <f t="shared" si="2"/>
        <v>1800000</v>
      </c>
    </row>
    <row r="16" spans="1:8" ht="15" customHeight="1">
      <c r="A16" s="6">
        <v>15</v>
      </c>
      <c r="B16" s="12" t="s">
        <v>22</v>
      </c>
      <c r="C16" s="8">
        <v>14000</v>
      </c>
      <c r="D16" s="8">
        <v>3500</v>
      </c>
      <c r="E16" s="8">
        <v>10000</v>
      </c>
      <c r="F16" s="9">
        <v>10</v>
      </c>
      <c r="G16" s="8">
        <f t="shared" si="0"/>
        <v>275000</v>
      </c>
      <c r="H16" s="10">
        <f t="shared" si="2"/>
        <v>3300000</v>
      </c>
    </row>
    <row r="17" spans="1:8" ht="15" customHeight="1">
      <c r="A17" s="6">
        <v>16</v>
      </c>
      <c r="B17" s="12" t="s">
        <v>23</v>
      </c>
      <c r="C17" s="8">
        <v>14000</v>
      </c>
      <c r="D17" s="8">
        <v>3500</v>
      </c>
      <c r="E17" s="8">
        <v>10000</v>
      </c>
      <c r="F17" s="9">
        <v>12</v>
      </c>
      <c r="G17" s="8">
        <f t="shared" si="0"/>
        <v>330000</v>
      </c>
      <c r="H17" s="10">
        <f t="shared" si="2"/>
        <v>3960000</v>
      </c>
    </row>
    <row r="18" spans="1:8" ht="15" customHeight="1">
      <c r="A18" s="6">
        <v>17</v>
      </c>
      <c r="B18" s="12" t="s">
        <v>24</v>
      </c>
      <c r="C18" s="8">
        <v>18000</v>
      </c>
      <c r="D18" s="8">
        <v>4500</v>
      </c>
      <c r="E18" s="8">
        <v>15000</v>
      </c>
      <c r="F18" s="9">
        <v>20</v>
      </c>
      <c r="G18" s="8">
        <f t="shared" si="0"/>
        <v>750000</v>
      </c>
      <c r="H18" s="10">
        <f t="shared" si="2"/>
        <v>9000000</v>
      </c>
    </row>
    <row r="19" spans="1:8" ht="15" customHeight="1">
      <c r="A19" s="6">
        <v>18</v>
      </c>
      <c r="B19" s="7" t="s">
        <v>25</v>
      </c>
      <c r="C19" s="8">
        <v>35000</v>
      </c>
      <c r="D19" s="8">
        <v>7000</v>
      </c>
      <c r="E19" s="8">
        <v>0</v>
      </c>
      <c r="F19" s="9">
        <v>4</v>
      </c>
      <c r="G19" s="8">
        <f t="shared" si="0"/>
        <v>168000</v>
      </c>
      <c r="H19" s="10">
        <f t="shared" si="2"/>
        <v>2016000</v>
      </c>
    </row>
    <row r="20" spans="1:8" ht="15" customHeight="1">
      <c r="A20" s="6"/>
      <c r="C20" s="11"/>
      <c r="D20" s="11"/>
      <c r="E20" s="11"/>
      <c r="F20" s="9"/>
      <c r="G20" s="8">
        <f t="shared" si="0"/>
        <v>0</v>
      </c>
      <c r="H20" s="10">
        <f t="shared" si="2"/>
        <v>0</v>
      </c>
    </row>
    <row r="21" spans="1:8" ht="15" customHeight="1">
      <c r="A21" s="6"/>
      <c r="B21" s="6"/>
      <c r="C21" s="11"/>
      <c r="D21" s="11"/>
      <c r="E21" s="11"/>
      <c r="F21" s="9"/>
      <c r="G21" s="8"/>
      <c r="H21" s="10"/>
    </row>
    <row r="22" spans="1:8" ht="15" customHeight="1">
      <c r="A22" s="13"/>
      <c r="B22" s="13"/>
      <c r="C22" s="13"/>
      <c r="D22" s="13"/>
      <c r="E22" s="13"/>
      <c r="F22" s="7">
        <f>SUM(F2:F20)</f>
        <v>600</v>
      </c>
      <c r="G22" s="8" t="s">
        <v>26</v>
      </c>
      <c r="H22" s="14">
        <f>SUM(H2:H20)</f>
        <v>196788000</v>
      </c>
    </row>
  </sheetData>
  <phoneticPr fontId="13" type="noConversion"/>
  <pageMargins left="0.7" right="0.7" top="0.75" bottom="0.75" header="0.3" footer="0.3"/>
  <pageSetup paperSize="9" scale="8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WIBA LIST</vt:lpstr>
      <vt:lpstr>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D0495</cp:lastModifiedBy>
  <dcterms:created xsi:type="dcterms:W3CDTF">2006-09-16T00:00:00Z</dcterms:created>
  <dcterms:modified xsi:type="dcterms:W3CDTF">2026-08-24T20:18:25Z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EF53474C2F8147AAAC37B04D052BEE6B_13</vt:lpwstr>
  </property>
</Properties>
</file>